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 Jae Hwan\Desktop\공부관련\"/>
    </mc:Choice>
  </mc:AlternateContent>
  <bookViews>
    <workbookView xWindow="0" yWindow="0" windowWidth="16575" windowHeight="988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5" i="1" l="1"/>
  <c r="N85" i="1"/>
  <c r="O85" i="1"/>
  <c r="P85" i="1"/>
  <c r="Q85" i="1"/>
  <c r="R85" i="1"/>
  <c r="S85" i="1"/>
  <c r="T85" i="1"/>
  <c r="F36" i="1"/>
  <c r="I36" i="1"/>
  <c r="I45" i="1" l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L5" i="1" l="1"/>
  <c r="I37" i="1"/>
  <c r="I38" i="1"/>
  <c r="I39" i="1"/>
  <c r="I40" i="1"/>
  <c r="I41" i="1"/>
  <c r="I42" i="1"/>
  <c r="I43" i="1"/>
  <c r="I44" i="1"/>
  <c r="F51" i="1" l="1"/>
  <c r="D80" i="1"/>
  <c r="O14" i="1"/>
  <c r="F37" i="1" l="1"/>
  <c r="F38" i="1"/>
  <c r="F39" i="1"/>
  <c r="F40" i="1"/>
  <c r="F41" i="1"/>
  <c r="F42" i="1"/>
  <c r="F43" i="1"/>
  <c r="F44" i="1"/>
  <c r="F45" i="1"/>
  <c r="F46" i="1"/>
  <c r="F47" i="1"/>
  <c r="F48" i="1"/>
  <c r="F14" i="1"/>
  <c r="F33" i="1"/>
  <c r="G33" i="1"/>
  <c r="H33" i="1"/>
  <c r="I33" i="1"/>
  <c r="J33" i="1"/>
  <c r="K33" i="1"/>
  <c r="L33" i="1"/>
  <c r="M33" i="1"/>
  <c r="E33" i="1"/>
  <c r="G14" i="1" l="1"/>
  <c r="G10" i="1"/>
  <c r="F10" i="1"/>
  <c r="G5" i="1"/>
  <c r="F18" i="1" s="1"/>
  <c r="H5" i="1"/>
  <c r="E54" i="1" l="1"/>
  <c r="E60" i="1"/>
  <c r="E66" i="1"/>
  <c r="E72" i="1"/>
  <c r="E78" i="1"/>
  <c r="E56" i="1"/>
  <c r="E62" i="1"/>
  <c r="E68" i="1"/>
  <c r="E74" i="1"/>
  <c r="E80" i="1"/>
  <c r="E69" i="1"/>
  <c r="E53" i="1"/>
  <c r="E70" i="1"/>
  <c r="E55" i="1"/>
  <c r="E61" i="1"/>
  <c r="E67" i="1"/>
  <c r="E73" i="1"/>
  <c r="E79" i="1"/>
  <c r="E63" i="1"/>
  <c r="E75" i="1"/>
  <c r="E58" i="1"/>
  <c r="E64" i="1"/>
  <c r="E76" i="1"/>
  <c r="E59" i="1"/>
  <c r="E65" i="1"/>
  <c r="E71" i="1"/>
  <c r="E77" i="1"/>
  <c r="E57" i="1"/>
  <c r="L8" i="1"/>
  <c r="H14" i="1"/>
  <c r="I14" i="1"/>
  <c r="I5" i="1"/>
  <c r="M5" i="1"/>
  <c r="J14" i="1" l="1"/>
  <c r="E19" i="1" s="1"/>
  <c r="K19" i="1"/>
  <c r="K16" i="1"/>
  <c r="K14" i="1"/>
  <c r="K18" i="1"/>
  <c r="K15" i="1"/>
  <c r="K13" i="1"/>
  <c r="K17" i="1"/>
  <c r="F6" i="1" s="1"/>
  <c r="M8" i="1"/>
  <c r="M11" i="1" s="1"/>
  <c r="M12" i="1" s="1"/>
  <c r="E11" i="1"/>
  <c r="J5" i="1"/>
  <c r="E8" i="1" s="1"/>
  <c r="N5" i="1"/>
  <c r="E10" i="1"/>
  <c r="N11" i="1" l="1"/>
  <c r="N12" i="1" s="1"/>
  <c r="E12" i="1"/>
  <c r="F12" i="1"/>
  <c r="D19" i="1" s="1"/>
  <c r="L11" i="1"/>
  <c r="F8" i="1"/>
  <c r="G8" i="1" s="1"/>
  <c r="L13" i="1" l="1"/>
  <c r="L12" i="1"/>
  <c r="M13" i="1" s="1"/>
  <c r="L85" i="1"/>
  <c r="J85" i="1"/>
  <c r="H85" i="1"/>
  <c r="I85" i="1"/>
  <c r="K85" i="1"/>
  <c r="E85" i="1"/>
  <c r="G85" i="1"/>
  <c r="F85" i="1"/>
</calcChain>
</file>

<file path=xl/sharedStrings.xml><?xml version="1.0" encoding="utf-8"?>
<sst xmlns="http://schemas.openxmlformats.org/spreadsheetml/2006/main" count="75" uniqueCount="67">
  <si>
    <t>저항</t>
    <phoneticPr fontId="1" type="noConversion"/>
  </si>
  <si>
    <t>인덕터</t>
    <phoneticPr fontId="1" type="noConversion"/>
  </si>
  <si>
    <t>주파수</t>
    <phoneticPr fontId="1" type="noConversion"/>
  </si>
  <si>
    <t>omega계수</t>
    <phoneticPr fontId="1" type="noConversion"/>
  </si>
  <si>
    <t>omega</t>
    <phoneticPr fontId="1" type="noConversion"/>
  </si>
  <si>
    <t>크기임피던스</t>
    <phoneticPr fontId="1" type="noConversion"/>
  </si>
  <si>
    <t>인덕터전압</t>
    <phoneticPr fontId="1" type="noConversion"/>
  </si>
  <si>
    <t>유효검사</t>
    <phoneticPr fontId="1" type="noConversion"/>
  </si>
  <si>
    <t>저항전압</t>
    <phoneticPr fontId="1" type="noConversion"/>
  </si>
  <si>
    <t>세타</t>
    <phoneticPr fontId="1" type="noConversion"/>
  </si>
  <si>
    <t>VRpeka</t>
    <phoneticPr fontId="1" type="noConversion"/>
  </si>
  <si>
    <t>실험</t>
    <phoneticPr fontId="1" type="noConversion"/>
  </si>
  <si>
    <t>실험|Z|</t>
    <phoneticPr fontId="1" type="noConversion"/>
  </si>
  <si>
    <t>실험세타</t>
    <phoneticPr fontId="1" type="noConversion"/>
  </si>
  <si>
    <t>VLpeak</t>
    <phoneticPr fontId="1" type="noConversion"/>
  </si>
  <si>
    <t>제곱계산기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</si>
  <si>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</si>
  <si>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</si>
  <si>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</si>
  <si>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전원(peak)</t>
    <phoneticPr fontId="1" type="noConversion"/>
  </si>
  <si>
    <t>주파수 숫자 클릭하면 1000 증가</t>
    <phoneticPr fontId="1" type="noConversion"/>
  </si>
  <si>
    <t>Peak값임</t>
    <phoneticPr fontId="1" type="noConversion"/>
  </si>
  <si>
    <t>RMS가 아님</t>
    <phoneticPr fontId="1" type="noConversion"/>
  </si>
  <si>
    <t>캐패시터</t>
    <phoneticPr fontId="1" type="noConversion"/>
  </si>
  <si>
    <t>공진주파수</t>
    <phoneticPr fontId="1" type="noConversion"/>
  </si>
  <si>
    <t>인덕터리액턴스</t>
    <phoneticPr fontId="1" type="noConversion"/>
  </si>
  <si>
    <t>캪리액턴스</t>
    <phoneticPr fontId="1" type="noConversion"/>
  </si>
  <si>
    <t>RL</t>
    <phoneticPr fontId="1" type="noConversion"/>
  </si>
  <si>
    <t>RLC</t>
    <phoneticPr fontId="1" type="noConversion"/>
  </si>
  <si>
    <t>RLC크기임피</t>
    <phoneticPr fontId="1" type="noConversion"/>
  </si>
  <si>
    <t>임피던스차이</t>
    <phoneticPr fontId="1" type="noConversion"/>
  </si>
  <si>
    <t>저항전압</t>
    <phoneticPr fontId="1" type="noConversion"/>
  </si>
  <si>
    <t>인덕터전압</t>
    <phoneticPr fontId="1" type="noConversion"/>
  </si>
  <si>
    <t>캐패시터전압</t>
    <phoneticPr fontId="1" type="noConversion"/>
  </si>
  <si>
    <t>이론</t>
    <phoneticPr fontId="1" type="noConversion"/>
  </si>
  <si>
    <t>측정</t>
    <phoneticPr fontId="1" type="noConversion"/>
  </si>
  <si>
    <t>오차율</t>
    <phoneticPr fontId="1" type="noConversion"/>
  </si>
  <si>
    <t>RMS Value</t>
    <phoneticPr fontId="1" type="noConversion"/>
  </si>
  <si>
    <t>이론</t>
    <phoneticPr fontId="1" type="noConversion"/>
  </si>
  <si>
    <t>측정</t>
    <phoneticPr fontId="1" type="noConversion"/>
  </si>
  <si>
    <t>H(w)</t>
    <phoneticPr fontId="1" type="noConversion"/>
  </si>
  <si>
    <t>RC크기임피</t>
    <phoneticPr fontId="1" type="noConversion"/>
  </si>
  <si>
    <t>vout/vin</t>
    <phoneticPr fontId="1" type="noConversion"/>
  </si>
  <si>
    <t>1/1+jwrc)</t>
    <phoneticPr fontId="1" type="noConversion"/>
  </si>
  <si>
    <t>Re</t>
    <phoneticPr fontId="1" type="noConversion"/>
  </si>
  <si>
    <t>IM</t>
    <phoneticPr fontId="1" type="noConversion"/>
  </si>
  <si>
    <t>h(w)</t>
    <phoneticPr fontId="1" type="noConversion"/>
  </si>
  <si>
    <t>fc</t>
    <phoneticPr fontId="1" type="noConversion"/>
  </si>
  <si>
    <t>fr</t>
    <phoneticPr fontId="1" type="noConversion"/>
  </si>
  <si>
    <t>Vc</t>
    <phoneticPr fontId="1" type="noConversion"/>
  </si>
  <si>
    <t>전원</t>
    <phoneticPr fontId="1" type="noConversion"/>
  </si>
  <si>
    <t>R</t>
    <phoneticPr fontId="1" type="noConversion"/>
  </si>
  <si>
    <t>C</t>
    <phoneticPr fontId="1" type="noConversion"/>
  </si>
  <si>
    <t>RC R전압,C전압</t>
    <phoneticPr fontId="1" type="noConversion"/>
  </si>
  <si>
    <t>차단주파수</t>
    <phoneticPr fontId="1" type="noConversion"/>
  </si>
  <si>
    <t>오차율</t>
    <phoneticPr fontId="1" type="noConversion"/>
  </si>
  <si>
    <t>차단주파수 bodeplot</t>
    <phoneticPr fontId="1" type="noConversion"/>
  </si>
  <si>
    <t>vout</t>
    <phoneticPr fontId="1" type="noConversion"/>
  </si>
  <si>
    <t>vin</t>
    <phoneticPr fontId="1" type="noConversion"/>
  </si>
  <si>
    <t>로그스케일그래프</t>
    <phoneticPr fontId="1" type="noConversion"/>
  </si>
  <si>
    <t>F</t>
    <phoneticPr fontId="1" type="noConversion"/>
  </si>
  <si>
    <t>차단주파수 bodeplot</t>
  </si>
  <si>
    <t>F</t>
  </si>
  <si>
    <t>vout 이론</t>
    <phoneticPr fontId="1" type="noConversion"/>
  </si>
  <si>
    <t>이론 가로</t>
    <phoneticPr fontId="1" type="noConversion"/>
  </si>
  <si>
    <t>측정 가로</t>
    <phoneticPr fontId="1" type="noConversion"/>
  </si>
  <si>
    <t>오차율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</si>
</sst>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1"/>
      <color rgb="FF000000"/>
      <name val="나눔명조"/>
      <family val="1"/>
      <charset val="129"/>
    </font>
    <font>
      <b/>
      <sz val="11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FE6F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4EBF2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CCDAEE"/>
      </left>
      <right style="thin">
        <color rgb="FFCCDAEE"/>
      </right>
      <top style="thick">
        <color rgb="FF315F97"/>
      </top>
      <bottom style="thin">
        <color rgb="FFCCDAEE"/>
      </bottom>
      <diagonal/>
    </border>
    <border>
      <left style="thin">
        <color rgb="FFCCDAEE"/>
      </left>
      <right style="thin">
        <color rgb="FFCCDAEE"/>
      </right>
      <top style="thin">
        <color rgb="FFCCDAEE"/>
      </top>
      <bottom style="thin">
        <color rgb="FFCCDAEE"/>
      </bottom>
      <diagonal/>
    </border>
    <border>
      <left style="thin">
        <color rgb="FFCCDAEE"/>
      </left>
      <right style="thin">
        <color rgb="FFCCDAEE"/>
      </right>
      <top style="thin">
        <color rgb="FFCCDAEE"/>
      </top>
      <bottom style="thick">
        <color rgb="FF315F97"/>
      </bottom>
      <diagonal/>
    </border>
    <border>
      <left style="thin">
        <color rgb="FFCCDAEE"/>
      </left>
      <right/>
      <top style="thick">
        <color rgb="FF315F97"/>
      </top>
      <bottom style="thin">
        <color rgb="FFCCDAEE"/>
      </bottom>
      <diagonal/>
    </border>
    <border>
      <left style="thin">
        <color rgb="FFCCDAEE"/>
      </left>
      <right/>
      <top style="thin">
        <color rgb="FFCCDAEE"/>
      </top>
      <bottom style="thin">
        <color rgb="FFCCDAEE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justify" vertical="center" wrapText="1"/>
    </xf>
    <xf numFmtId="176" fontId="0" fillId="0" borderId="0" xfId="0" applyNumberFormat="1">
      <alignment vertical="center"/>
    </xf>
    <xf numFmtId="0" fontId="4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6" fillId="3" borderId="0" xfId="0" applyFont="1" applyFill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2" fillId="3" borderId="8" xfId="0" applyFont="1" applyFill="1" applyBorder="1">
      <alignment vertical="center"/>
    </xf>
    <xf numFmtId="0" fontId="0" fillId="3" borderId="9" xfId="0" applyFill="1" applyBorder="1">
      <alignment vertical="center"/>
    </xf>
    <xf numFmtId="0" fontId="6" fillId="3" borderId="0" xfId="0" applyFont="1" applyFill="1" applyBorder="1">
      <alignment vertical="center"/>
    </xf>
    <xf numFmtId="0" fontId="7" fillId="3" borderId="0" xfId="0" applyFont="1" applyFill="1">
      <alignment vertical="center"/>
    </xf>
    <xf numFmtId="0" fontId="3" fillId="0" borderId="10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0" fillId="3" borderId="5" xfId="0" applyFill="1" applyBorder="1">
      <alignment vertical="center"/>
    </xf>
    <xf numFmtId="0" fontId="9" fillId="3" borderId="0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6" fontId="0" fillId="0" borderId="17" xfId="0" applyNumberFormat="1" applyBorder="1">
      <alignment vertical="center"/>
    </xf>
    <xf numFmtId="0" fontId="0" fillId="0" borderId="18" xfId="0" applyBorder="1">
      <alignment vertical="center"/>
    </xf>
    <xf numFmtId="0" fontId="3" fillId="0" borderId="20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0" fillId="0" borderId="17" xfId="0" applyNumberFormat="1" applyFill="1" applyBorder="1">
      <alignment vertical="center"/>
    </xf>
    <xf numFmtId="0" fontId="8" fillId="4" borderId="21" xfId="0" applyFont="1" applyFill="1" applyBorder="1" applyAlignment="1">
      <alignment horizontal="center" vertical="center" wrapText="1"/>
    </xf>
    <xf numFmtId="0" fontId="8" fillId="5" borderId="22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8" fillId="4" borderId="23" xfId="0" applyFont="1" applyFill="1" applyBorder="1" applyAlignment="1">
      <alignment horizontal="center" vertical="center" wrapText="1"/>
    </xf>
    <xf numFmtId="176" fontId="0" fillId="0" borderId="19" xfId="0" applyNumberFormat="1" applyFill="1" applyBorder="1">
      <alignment vertical="center"/>
    </xf>
    <xf numFmtId="176" fontId="0" fillId="0" borderId="0" xfId="0" applyNumberFormat="1" applyFill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11" fillId="0" borderId="0" xfId="0" applyFont="1">
      <alignment vertical="center"/>
    </xf>
    <xf numFmtId="176" fontId="11" fillId="0" borderId="0" xfId="0" applyNumberFormat="1" applyFont="1">
      <alignment vertical="center"/>
    </xf>
    <xf numFmtId="0" fontId="11" fillId="0" borderId="0" xfId="0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0" fontId="10" fillId="4" borderId="21" xfId="0" applyFont="1" applyFill="1" applyBorder="1" applyAlignment="1">
      <alignment horizontal="center" vertical="center" wrapText="1"/>
    </xf>
    <xf numFmtId="0" fontId="10" fillId="4" borderId="24" xfId="0" applyFont="1" applyFill="1" applyBorder="1" applyAlignment="1">
      <alignment horizontal="center" vertical="center" wrapText="1"/>
    </xf>
    <xf numFmtId="0" fontId="10" fillId="5" borderId="22" xfId="0" applyFont="1" applyFill="1" applyBorder="1" applyAlignment="1">
      <alignment horizontal="center" vertical="center" wrapText="1"/>
    </xf>
    <xf numFmtId="0" fontId="10" fillId="5" borderId="25" xfId="0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Sheet1!$L$60:$L$75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</c:v>
                </c:pt>
                <c:pt idx="9">
                  <c:v>15</c:v>
                </c:pt>
                <c:pt idx="10">
                  <c:v>25</c:v>
                </c:pt>
                <c:pt idx="11">
                  <c:v>50</c:v>
                </c:pt>
                <c:pt idx="12">
                  <c:v>100</c:v>
                </c:pt>
                <c:pt idx="13">
                  <c:v>500</c:v>
                </c:pt>
                <c:pt idx="14">
                  <c:v>1000</c:v>
                </c:pt>
                <c:pt idx="15">
                  <c:v>10000</c:v>
                </c:pt>
              </c:numCache>
            </c:numRef>
          </c:xVal>
          <c:yVal>
            <c:numRef>
              <c:f>Sheet1!$M$60:$M$75</c:f>
              <c:numCache>
                <c:formatCode>General</c:formatCode>
                <c:ptCount val="16"/>
                <c:pt idx="0">
                  <c:v>-21.514414278762366</c:v>
                </c:pt>
                <c:pt idx="1">
                  <c:v>-17.07743928643524</c:v>
                </c:pt>
                <c:pt idx="2">
                  <c:v>-13.722655592616931</c:v>
                </c:pt>
                <c:pt idx="3">
                  <c:v>-11.372724716820253</c:v>
                </c:pt>
                <c:pt idx="4">
                  <c:v>-9.5772383259192733</c:v>
                </c:pt>
                <c:pt idx="5">
                  <c:v>-8.1342786595908549</c:v>
                </c:pt>
                <c:pt idx="6">
                  <c:v>-6.897231303772358</c:v>
                </c:pt>
                <c:pt idx="7">
                  <c:v>-5.6799331273040163</c:v>
                </c:pt>
                <c:pt idx="8">
                  <c:v>-3.349821745875273</c:v>
                </c:pt>
                <c:pt idx="9">
                  <c:v>-0.175478486150103</c:v>
                </c:pt>
                <c:pt idx="10">
                  <c:v>4.190300290852619</c:v>
                </c:pt>
                <c:pt idx="11">
                  <c:v>10.317476874233583</c:v>
                </c:pt>
                <c:pt idx="12">
                  <c:v>17.616271845615827</c:v>
                </c:pt>
                <c:pt idx="13">
                  <c:v>7.9588001734407516</c:v>
                </c:pt>
                <c:pt idx="14">
                  <c:v>3.5218251811136247</c:v>
                </c:pt>
                <c:pt idx="15">
                  <c:v>-13.979400086720375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2A-4137-B7BE-B304C3E09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569983"/>
        <c:axId val="1567574975"/>
      </c:scatterChart>
      <c:valAx>
        <c:axId val="156756998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7574975"/>
        <c:crosses val="autoZero"/>
        <c:crossBetween val="midCat"/>
      </c:valAx>
      <c:valAx>
        <c:axId val="156757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7569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2101377952755905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Sheet1!$R$35</c:f>
              <c:strCache>
                <c:ptCount val="1"/>
                <c:pt idx="0">
                  <c:v>차단주파수 bodeplot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Sheet1!$Q$36:$Q$46</c:f>
              <c:numCache>
                <c:formatCode>General</c:formatCode>
                <c:ptCount val="11"/>
                <c:pt idx="0">
                  <c:v>0.1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50</c:v>
                </c:pt>
                <c:pt idx="8">
                  <c:v>100</c:v>
                </c:pt>
                <c:pt idx="9">
                  <c:v>1000</c:v>
                </c:pt>
                <c:pt idx="10">
                  <c:v>10000</c:v>
                </c:pt>
              </c:numCache>
            </c:numRef>
          </c:xVal>
          <c:yVal>
            <c:numRef>
              <c:f>Sheet1!$R$36:$R$46</c:f>
              <c:numCache>
                <c:formatCode>General</c:formatCode>
                <c:ptCount val="11"/>
                <c:pt idx="0">
                  <c:v>18.889653443003375</c:v>
                </c:pt>
                <c:pt idx="1">
                  <c:v>4.0823996531184958</c:v>
                </c:pt>
                <c:pt idx="2">
                  <c:v>-1.7661968249227777</c:v>
                </c:pt>
                <c:pt idx="3">
                  <c:v>-6.97443972003712</c:v>
                </c:pt>
                <c:pt idx="4">
                  <c:v>-10.812150244815385</c:v>
                </c:pt>
                <c:pt idx="5">
                  <c:v>-11.835200693763008</c:v>
                </c:pt>
                <c:pt idx="6">
                  <c:v>-14.333975425929008</c:v>
                </c:pt>
                <c:pt idx="7">
                  <c:v>-21.938200260161128</c:v>
                </c:pt>
                <c:pt idx="8">
                  <c:v>-21.110346556996625</c:v>
                </c:pt>
                <c:pt idx="9">
                  <c:v>-27.95880017344075</c:v>
                </c:pt>
                <c:pt idx="10">
                  <c:v>-18.636282765076764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C1-45FF-AD8F-3F090044F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100992"/>
        <c:axId val="915095584"/>
      </c:scatterChart>
      <c:valAx>
        <c:axId val="91510099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5095584"/>
        <c:crosses val="autoZero"/>
        <c:crossBetween val="midCat"/>
      </c:valAx>
      <c:valAx>
        <c:axId val="91509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510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Sheet1!$T$25</c:f>
              <c:strCache>
                <c:ptCount val="1"/>
                <c:pt idx="0">
                  <c:v>차단주파수 bodeplot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Sheet1!$S$26:$S$32</c:f>
              <c:numCache>
                <c:formatCode>General</c:formatCode>
                <c:ptCount val="7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5</c:v>
                </c:pt>
                <c:pt idx="4">
                  <c:v>10</c:v>
                </c:pt>
                <c:pt idx="5">
                  <c:v>50</c:v>
                </c:pt>
                <c:pt idx="6">
                  <c:v>100</c:v>
                </c:pt>
              </c:numCache>
            </c:numRef>
          </c:xVal>
          <c:yVal>
            <c:numRef>
              <c:f>Sheet1!$T$26:$T$32</c:f>
              <c:numCache>
                <c:formatCode>General</c:formatCode>
                <c:ptCount val="7"/>
                <c:pt idx="0">
                  <c:v>-17.855800607042632</c:v>
                </c:pt>
                <c:pt idx="1">
                  <c:v>-2.1692508465487106</c:v>
                </c:pt>
                <c:pt idx="2">
                  <c:v>0.3406667859756074</c:v>
                </c:pt>
                <c:pt idx="3">
                  <c:v>-0.22882086242768965</c:v>
                </c:pt>
                <c:pt idx="4">
                  <c:v>-0.80010323343167611</c:v>
                </c:pt>
                <c:pt idx="5">
                  <c:v>-12.359659148502633</c:v>
                </c:pt>
                <c:pt idx="6">
                  <c:v>-17.896611440013366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ED-4B7C-814D-6DD897716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322080"/>
        <c:axId val="916320832"/>
      </c:scatterChart>
      <c:valAx>
        <c:axId val="916322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6320832"/>
        <c:crosses val="autoZero"/>
        <c:crossBetween val="midCat"/>
      </c:valAx>
      <c:valAx>
        <c:axId val="91632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632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Sheet1!$T$4</c:f>
              <c:strCache>
                <c:ptCount val="1"/>
                <c:pt idx="0">
                  <c:v>차단주파수 bodeplot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Sheet1!$S$5:$S$12</c:f>
              <c:numCache>
                <c:formatCode>General</c:formatCode>
                <c:ptCount val="8"/>
                <c:pt idx="0">
                  <c:v>0.01</c:v>
                </c:pt>
                <c:pt idx="1">
                  <c:v>0.1</c:v>
                </c:pt>
                <c:pt idx="2">
                  <c:v>0.5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  <c:pt idx="7">
                  <c:v>100</c:v>
                </c:pt>
              </c:numCache>
            </c:numRef>
          </c:xVal>
          <c:yVal>
            <c:numRef>
              <c:f>Sheet1!$T$5:$T$12</c:f>
              <c:numCache>
                <c:formatCode>General</c:formatCode>
                <c:ptCount val="8"/>
                <c:pt idx="0">
                  <c:v>7.9544836910740879E-2</c:v>
                </c:pt>
                <c:pt idx="1">
                  <c:v>-2.4387603741997492</c:v>
                </c:pt>
                <c:pt idx="2">
                  <c:v>-17.227631322010151</c:v>
                </c:pt>
                <c:pt idx="3">
                  <c:v>-6.8054780952441671</c:v>
                </c:pt>
                <c:pt idx="4">
                  <c:v>-2.3290424146391278</c:v>
                </c:pt>
                <c:pt idx="5">
                  <c:v>-0.16130900562104322</c:v>
                </c:pt>
                <c:pt idx="6">
                  <c:v>0.31389977053036189</c:v>
                </c:pt>
                <c:pt idx="7">
                  <c:v>0.60713610621683944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6A-41C9-8AD7-DB14DAE2B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634208"/>
        <c:axId val="1101225952"/>
      </c:scatterChart>
      <c:valAx>
        <c:axId val="90763420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1225952"/>
        <c:crosses val="autoZero"/>
        <c:crossBetween val="midCat"/>
      </c:valAx>
      <c:valAx>
        <c:axId val="110122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763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666750</xdr:colOff>
      <xdr:row>51</xdr:row>
      <xdr:rowOff>81643</xdr:rowOff>
    </xdr:from>
    <xdr:to>
      <xdr:col>15</xdr:col>
      <xdr:colOff>215822</xdr:colOff>
      <xdr:row>54</xdr:row>
      <xdr:rowOff>50274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83786" y="10776857"/>
          <a:ext cx="4257143" cy="580952"/>
        </a:xfrm>
        <a:prstGeom prst="rect">
          <a:avLst/>
        </a:prstGeom>
      </xdr:spPr>
    </xdr:pic>
    <xdr:clientData/>
  </xdr:twoCellAnchor>
  <xdr:twoCellAnchor>
    <xdr:from>
      <xdr:col>5</xdr:col>
      <xdr:colOff>1503588</xdr:colOff>
      <xdr:row>58</xdr:row>
      <xdr:rowOff>50346</xdr:rowOff>
    </xdr:from>
    <xdr:to>
      <xdr:col>9</xdr:col>
      <xdr:colOff>265338</xdr:colOff>
      <xdr:row>71</xdr:row>
      <xdr:rowOff>140153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517071</xdr:colOff>
      <xdr:row>46</xdr:row>
      <xdr:rowOff>186417</xdr:rowOff>
    </xdr:from>
    <xdr:to>
      <xdr:col>21</xdr:col>
      <xdr:colOff>326571</xdr:colOff>
      <xdr:row>60</xdr:row>
      <xdr:rowOff>72117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687160</xdr:colOff>
      <xdr:row>17</xdr:row>
      <xdr:rowOff>84364</xdr:rowOff>
    </xdr:from>
    <xdr:to>
      <xdr:col>12</xdr:col>
      <xdr:colOff>47624</xdr:colOff>
      <xdr:row>30</xdr:row>
      <xdr:rowOff>174171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986517</xdr:colOff>
      <xdr:row>21</xdr:row>
      <xdr:rowOff>70756</xdr:rowOff>
    </xdr:from>
    <xdr:to>
      <xdr:col>17</xdr:col>
      <xdr:colOff>115660</xdr:colOff>
      <xdr:row>34</xdr:row>
      <xdr:rowOff>146956</xdr:rowOff>
    </xdr:to>
    <xdr:graphicFrame macro="">
      <xdr:nvGraphicFramePr>
        <xdr:cNvPr id="8" name="차트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85"/>
  <sheetViews>
    <sheetView tabSelected="1" zoomScale="70" zoomScaleNormal="70" workbookViewId="0">
      <selection activeCell="S4" sqref="S4:T12"/>
    </sheetView>
  </sheetViews>
  <sheetFormatPr defaultRowHeight="16.5" x14ac:dyDescent="0.3"/>
  <cols>
    <col min="3" max="3" width="10.875" bestFit="1" customWidth="1"/>
    <col min="4" max="4" width="13.5" bestFit="1" customWidth="1"/>
    <col min="5" max="5" width="14.25" bestFit="1" customWidth="1"/>
    <col min="6" max="6" width="30.625" bestFit="1" customWidth="1"/>
    <col min="7" max="7" width="17.625" customWidth="1"/>
    <col min="8" max="8" width="12.75" bestFit="1" customWidth="1"/>
    <col min="9" max="9" width="15.125" bestFit="1" customWidth="1"/>
    <col min="10" max="10" width="13" bestFit="1" customWidth="1"/>
    <col min="11" max="11" width="13.25" customWidth="1"/>
    <col min="12" max="12" width="14.25" bestFit="1" customWidth="1"/>
    <col min="13" max="20" width="11.375" bestFit="1" customWidth="1"/>
  </cols>
  <sheetData>
    <row r="1" spans="3:20" x14ac:dyDescent="0.3">
      <c r="D1" s="41" t="s">
        <v>27</v>
      </c>
      <c r="E1" s="41"/>
      <c r="F1" s="41"/>
      <c r="G1" s="41"/>
      <c r="H1" s="41"/>
      <c r="I1" s="41"/>
      <c r="J1" s="41"/>
      <c r="K1" s="41"/>
      <c r="L1" s="42" t="s">
        <v>28</v>
      </c>
      <c r="M1" s="42"/>
      <c r="N1" s="42"/>
      <c r="O1" s="42"/>
    </row>
    <row r="3" spans="3:20" x14ac:dyDescent="0.3">
      <c r="F3" t="s">
        <v>20</v>
      </c>
    </row>
    <row r="4" spans="3:20" x14ac:dyDescent="0.3">
      <c r="D4" s="14" t="s">
        <v>0</v>
      </c>
      <c r="E4" s="14" t="s">
        <v>1</v>
      </c>
      <c r="F4" s="14" t="s">
        <v>2</v>
      </c>
      <c r="G4" s="15" t="s">
        <v>3</v>
      </c>
      <c r="H4" s="15" t="s">
        <v>4</v>
      </c>
      <c r="I4" s="14" t="s">
        <v>25</v>
      </c>
      <c r="J4" s="15" t="s">
        <v>5</v>
      </c>
      <c r="K4" s="15"/>
      <c r="L4" s="14" t="s">
        <v>23</v>
      </c>
      <c r="M4" s="14" t="s">
        <v>26</v>
      </c>
      <c r="N4" t="s">
        <v>30</v>
      </c>
      <c r="P4">
        <v>3000</v>
      </c>
      <c r="S4" t="s">
        <v>62</v>
      </c>
      <c r="T4" t="s">
        <v>61</v>
      </c>
    </row>
    <row r="5" spans="3:20" ht="33.75" customHeight="1" x14ac:dyDescent="0.3">
      <c r="D5" s="15">
        <v>3300</v>
      </c>
      <c r="E5" s="15">
        <v>0</v>
      </c>
      <c r="F5" s="15">
        <v>100000</v>
      </c>
      <c r="G5" s="15">
        <f>2*3.14159265358979</f>
        <v>6.28318530717958</v>
      </c>
      <c r="H5" s="15">
        <f>G5*F5</f>
        <v>628318.530717958</v>
      </c>
      <c r="I5" s="14">
        <f>H5*E5</f>
        <v>0</v>
      </c>
      <c r="J5" s="15">
        <f>(I5^2+D5^2)^(1/2)</f>
        <v>3300</v>
      </c>
      <c r="K5" s="15"/>
      <c r="L5" s="15">
        <f>4.7*10^-9</f>
        <v>4.7000000000000007E-9</v>
      </c>
      <c r="M5" s="14">
        <f>1/(H5*L5)</f>
        <v>338.62753849339464</v>
      </c>
      <c r="N5">
        <f>I5-M5</f>
        <v>-338.62753849339464</v>
      </c>
      <c r="P5">
        <v>6000</v>
      </c>
      <c r="S5">
        <v>0.01</v>
      </c>
      <c r="T5">
        <v>7.9544836910740879E-2</v>
      </c>
    </row>
    <row r="6" spans="3:20" x14ac:dyDescent="0.3">
      <c r="C6" s="14" t="s">
        <v>19</v>
      </c>
      <c r="F6" t="e">
        <f>K17</f>
        <v>#DIV/0!</v>
      </c>
      <c r="P6">
        <v>9000</v>
      </c>
      <c r="S6">
        <v>0.1</v>
      </c>
      <c r="T6">
        <v>-2.4387603741997492</v>
      </c>
    </row>
    <row r="7" spans="3:20" x14ac:dyDescent="0.3">
      <c r="C7" s="15">
        <v>5</v>
      </c>
      <c r="E7" t="s">
        <v>8</v>
      </c>
      <c r="F7" t="s">
        <v>6</v>
      </c>
      <c r="G7" t="s">
        <v>7</v>
      </c>
      <c r="H7" s="13" t="s">
        <v>21</v>
      </c>
      <c r="I7" s="13" t="s">
        <v>22</v>
      </c>
      <c r="L7" s="15" t="s">
        <v>24</v>
      </c>
      <c r="M7" s="15" t="s">
        <v>29</v>
      </c>
      <c r="P7">
        <v>12000</v>
      </c>
      <c r="S7">
        <v>0.5</v>
      </c>
      <c r="T7">
        <v>-17.227631322010151</v>
      </c>
    </row>
    <row r="8" spans="3:20" x14ac:dyDescent="0.3">
      <c r="E8">
        <f>C7*(D5/J5)</f>
        <v>5</v>
      </c>
      <c r="F8">
        <f>C7*(I5/J5)</f>
        <v>0</v>
      </c>
      <c r="G8">
        <f>(E8^2+F8^2)^(1/2)</f>
        <v>5</v>
      </c>
      <c r="L8" s="15" t="e">
        <f>1/(G5*SQRT(E5*L5))</f>
        <v>#DIV/0!</v>
      </c>
      <c r="M8" s="15">
        <f>SQRT(D5^2+(I5-M5)^2)</f>
        <v>3317.3285351056347</v>
      </c>
      <c r="P8">
        <v>15000</v>
      </c>
      <c r="S8">
        <v>1</v>
      </c>
      <c r="T8">
        <v>-6.8054780952441671</v>
      </c>
    </row>
    <row r="9" spans="3:20" ht="17.25" thickBot="1" x14ac:dyDescent="0.35">
      <c r="E9" t="s">
        <v>9</v>
      </c>
      <c r="F9" s="2" t="s">
        <v>12</v>
      </c>
      <c r="G9" s="3" t="s">
        <v>13</v>
      </c>
      <c r="H9" s="3"/>
      <c r="I9" s="3"/>
      <c r="J9" s="3" t="s">
        <v>11</v>
      </c>
      <c r="K9" s="4"/>
      <c r="P9">
        <v>18000</v>
      </c>
      <c r="S9">
        <v>2</v>
      </c>
      <c r="T9">
        <v>-2.3290424146391278</v>
      </c>
    </row>
    <row r="10" spans="3:20" x14ac:dyDescent="0.3">
      <c r="E10">
        <f>DEGREES(ATAN(I5/D5))</f>
        <v>0</v>
      </c>
      <c r="F10" s="5">
        <f>D5*SQRT(2) / J11/SQRT(2)</f>
        <v>6534.6534653465342</v>
      </c>
      <c r="G10" s="6">
        <f>DEGREES(ATAN(K11/J11))</f>
        <v>57.542817598719814</v>
      </c>
      <c r="H10" s="6"/>
      <c r="I10" s="6"/>
      <c r="J10" s="6" t="s">
        <v>10</v>
      </c>
      <c r="K10" s="6" t="s">
        <v>14</v>
      </c>
      <c r="L10" s="16" t="s">
        <v>31</v>
      </c>
      <c r="M10" s="18" t="s">
        <v>32</v>
      </c>
      <c r="N10" s="18" t="s">
        <v>33</v>
      </c>
      <c r="P10">
        <v>21000</v>
      </c>
      <c r="S10">
        <v>5</v>
      </c>
      <c r="T10">
        <v>-0.16130900562104322</v>
      </c>
    </row>
    <row r="11" spans="3:20" ht="17.25" thickBot="1" x14ac:dyDescent="0.35">
      <c r="D11" s="14" t="s">
        <v>41</v>
      </c>
      <c r="E11" s="14">
        <f>SQRT(M5^2+D5^2)</f>
        <v>3317.3285351056347</v>
      </c>
      <c r="F11" s="22"/>
      <c r="G11" s="7"/>
      <c r="H11" s="7"/>
      <c r="I11" s="7"/>
      <c r="J11" s="7">
        <v>0.505</v>
      </c>
      <c r="K11" s="7">
        <v>0.79400000000000004</v>
      </c>
      <c r="L11" s="17">
        <f>C7*(D5/M8)</f>
        <v>4.9738817923484886</v>
      </c>
      <c r="M11" s="19">
        <f>C7*I5/M8</f>
        <v>0</v>
      </c>
      <c r="N11" s="19">
        <f>C7*M5/M8</f>
        <v>0.51039192366669173</v>
      </c>
      <c r="S11">
        <v>10</v>
      </c>
      <c r="T11">
        <v>0.31389977053036189</v>
      </c>
    </row>
    <row r="12" spans="3:20" x14ac:dyDescent="0.3">
      <c r="D12" s="14" t="s">
        <v>53</v>
      </c>
      <c r="E12" s="14">
        <f>C7*D5/E11</f>
        <v>4.9738817923484886</v>
      </c>
      <c r="F12" s="14">
        <f>C7*M5/E11</f>
        <v>0.51039192366669173</v>
      </c>
      <c r="K12" t="s">
        <v>37</v>
      </c>
      <c r="L12">
        <f>L11/SQRT(2)</f>
        <v>3.5170655441899155</v>
      </c>
      <c r="M12">
        <f t="shared" ref="M12:N12" si="0">M11/SQRT(2)</f>
        <v>0</v>
      </c>
      <c r="N12">
        <f t="shared" si="0"/>
        <v>0.36090159028756441</v>
      </c>
      <c r="S12">
        <v>100</v>
      </c>
      <c r="T12">
        <v>0.60713610621683944</v>
      </c>
    </row>
    <row r="13" spans="3:20" x14ac:dyDescent="0.3">
      <c r="D13" s="1" t="s">
        <v>15</v>
      </c>
      <c r="E13" t="s">
        <v>16</v>
      </c>
      <c r="F13" t="s">
        <v>17</v>
      </c>
      <c r="G13" t="s">
        <v>18</v>
      </c>
      <c r="H13" t="s">
        <v>44</v>
      </c>
      <c r="I13" t="s">
        <v>45</v>
      </c>
      <c r="J13" t="s">
        <v>46</v>
      </c>
      <c r="K13" t="e">
        <f>$L$8-P4</f>
        <v>#DIV/0!</v>
      </c>
      <c r="L13" s="15">
        <f>SQRT(L11^2+(M11-N11)^2)</f>
        <v>5</v>
      </c>
      <c r="M13" s="15">
        <f>SQRT(L12^2+(M12-N12)^2)</f>
        <v>3.5355339059327378</v>
      </c>
      <c r="Q13" t="s">
        <v>62</v>
      </c>
      <c r="R13" t="s">
        <v>61</v>
      </c>
    </row>
    <row r="14" spans="3:20" x14ac:dyDescent="0.3">
      <c r="E14">
        <v>2.16</v>
      </c>
      <c r="F14">
        <f>3.74-1.35</f>
        <v>2.39</v>
      </c>
      <c r="G14">
        <f>SQRT(E14^2+F14^2)</f>
        <v>3.2214437757005787</v>
      </c>
      <c r="H14">
        <f>1/(1+(H5*L5*D5)^2)</f>
        <v>1.0419996629767444E-2</v>
      </c>
      <c r="I14">
        <f>H5*L5*D5/(1+(H5*L5*D5)^2)</f>
        <v>0.10154516384349911</v>
      </c>
      <c r="J14">
        <f>SQRT(H14^2+I14^2)</f>
        <v>0.10207838473333836</v>
      </c>
      <c r="K14" t="e">
        <f t="shared" ref="K14:K19" si="1">$L$8-P5</f>
        <v>#DIV/0!</v>
      </c>
      <c r="O14">
        <f>5/SQRT(2)</f>
        <v>3.5355339059327373</v>
      </c>
      <c r="Q14">
        <v>1</v>
      </c>
      <c r="R14">
        <v>-0.35457533920863205</v>
      </c>
    </row>
    <row r="15" spans="3:20" x14ac:dyDescent="0.3">
      <c r="K15" t="e">
        <f t="shared" si="1"/>
        <v>#DIV/0!</v>
      </c>
      <c r="Q15">
        <v>2</v>
      </c>
      <c r="R15">
        <v>-0.39084215447799886</v>
      </c>
    </row>
    <row r="16" spans="3:20" x14ac:dyDescent="0.3">
      <c r="F16" t="s">
        <v>54</v>
      </c>
      <c r="K16" t="e">
        <f t="shared" si="1"/>
        <v>#DIV/0!</v>
      </c>
      <c r="Q16">
        <v>4</v>
      </c>
      <c r="R16">
        <v>-0.64904047562275835</v>
      </c>
    </row>
    <row r="17" spans="2:20" x14ac:dyDescent="0.3">
      <c r="B17" s="12"/>
      <c r="C17" s="11"/>
      <c r="D17" s="43" t="s">
        <v>40</v>
      </c>
      <c r="E17" s="44"/>
      <c r="F17" s="11" t="s">
        <v>47</v>
      </c>
      <c r="G17" s="11"/>
      <c r="H17" s="11"/>
      <c r="I17" s="11"/>
      <c r="J17" s="11"/>
      <c r="K17" t="e">
        <f t="shared" si="1"/>
        <v>#DIV/0!</v>
      </c>
      <c r="L17" s="11"/>
      <c r="M17" s="11"/>
      <c r="N17" s="11"/>
      <c r="Q17">
        <v>8</v>
      </c>
      <c r="R17">
        <v>-1.5144142787623671</v>
      </c>
    </row>
    <row r="18" spans="2:20" x14ac:dyDescent="0.3">
      <c r="B18" s="12"/>
      <c r="C18" s="8"/>
      <c r="D18" t="s">
        <v>42</v>
      </c>
      <c r="E18" s="8" t="s">
        <v>43</v>
      </c>
      <c r="F18" s="8">
        <f>1/((G5*2*L5*D5))</f>
        <v>5130.7202802029487</v>
      </c>
      <c r="G18" s="8"/>
      <c r="H18" s="8"/>
      <c r="I18" s="8"/>
      <c r="J18" s="8"/>
      <c r="K18" t="e">
        <f t="shared" si="1"/>
        <v>#DIV/0!</v>
      </c>
      <c r="L18" s="8"/>
      <c r="M18" s="8"/>
      <c r="N18" s="8"/>
      <c r="Q18">
        <v>16</v>
      </c>
      <c r="R18">
        <v>-2.545223450546624</v>
      </c>
    </row>
    <row r="19" spans="2:20" x14ac:dyDescent="0.3">
      <c r="B19" s="12"/>
      <c r="C19" s="8"/>
      <c r="D19" s="8">
        <f>F12/C7</f>
        <v>0.10207838473333834</v>
      </c>
      <c r="E19" s="8">
        <f>J14</f>
        <v>0.10207838473333836</v>
      </c>
      <c r="F19" s="8"/>
      <c r="G19" s="8"/>
      <c r="H19" s="8"/>
      <c r="I19" s="8"/>
      <c r="J19" s="8"/>
      <c r="K19" t="e">
        <f t="shared" si="1"/>
        <v>#DIV/0!</v>
      </c>
      <c r="L19" s="8"/>
      <c r="M19" s="8"/>
      <c r="N19" s="8"/>
      <c r="Q19">
        <v>20</v>
      </c>
      <c r="R19">
        <v>-3.2988779655976748</v>
      </c>
    </row>
    <row r="20" spans="2:20" x14ac:dyDescent="0.3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Q20">
        <v>50</v>
      </c>
      <c r="R20">
        <v>-8.5425679559903962</v>
      </c>
    </row>
    <row r="21" spans="2:20" x14ac:dyDescent="0.3">
      <c r="Q21">
        <v>100</v>
      </c>
      <c r="R21">
        <v>-13.072940510987227</v>
      </c>
    </row>
    <row r="23" spans="2:20" x14ac:dyDescent="0.3">
      <c r="B23" s="12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</row>
    <row r="24" spans="2:20" x14ac:dyDescent="0.3">
      <c r="B24" s="12"/>
      <c r="C24" s="8"/>
      <c r="D24" s="9"/>
      <c r="E24" s="9"/>
      <c r="F24" s="9"/>
      <c r="G24" s="9"/>
      <c r="H24" s="9"/>
      <c r="I24" s="8"/>
      <c r="J24" s="8"/>
      <c r="K24" s="8"/>
      <c r="L24" s="8"/>
      <c r="M24" s="8"/>
      <c r="N24" s="8"/>
    </row>
    <row r="25" spans="2:20" x14ac:dyDescent="0.3">
      <c r="B25" s="12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P25" t="s">
        <v>62</v>
      </c>
      <c r="Q25" t="s">
        <v>61</v>
      </c>
      <c r="S25" t="s">
        <v>62</v>
      </c>
      <c r="T25" t="s">
        <v>61</v>
      </c>
    </row>
    <row r="26" spans="2:20" x14ac:dyDescent="0.3"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P26">
        <v>0.01</v>
      </c>
      <c r="Q26">
        <v>-17.227631322010151</v>
      </c>
      <c r="S26">
        <v>0.01</v>
      </c>
      <c r="T26">
        <v>-17.855800607042632</v>
      </c>
    </row>
    <row r="27" spans="2:20" x14ac:dyDescent="0.3">
      <c r="P27">
        <v>0.05</v>
      </c>
      <c r="Q27">
        <v>-6.1606979446527932</v>
      </c>
      <c r="S27">
        <v>0.1</v>
      </c>
      <c r="T27">
        <v>-2.1692508465487106</v>
      </c>
    </row>
    <row r="28" spans="2:20" x14ac:dyDescent="0.3">
      <c r="P28">
        <v>0.1</v>
      </c>
      <c r="Q28">
        <v>-3.6619232124867942</v>
      </c>
      <c r="S28">
        <v>1</v>
      </c>
      <c r="T28">
        <v>0.3406667859756074</v>
      </c>
    </row>
    <row r="29" spans="2:20" x14ac:dyDescent="0.3">
      <c r="P29">
        <v>1</v>
      </c>
      <c r="Q29">
        <v>-0.57448302523789496</v>
      </c>
      <c r="S29">
        <v>5</v>
      </c>
      <c r="T29">
        <v>-0.22882086242768965</v>
      </c>
    </row>
    <row r="30" spans="2:20" x14ac:dyDescent="0.3">
      <c r="P30">
        <v>10</v>
      </c>
      <c r="Q30">
        <v>-0.22882086242768965</v>
      </c>
      <c r="S30">
        <v>10</v>
      </c>
      <c r="T30">
        <v>-0.80010323343167611</v>
      </c>
    </row>
    <row r="31" spans="2:20" x14ac:dyDescent="0.3">
      <c r="D31" t="s">
        <v>34</v>
      </c>
      <c r="E31" s="8">
        <v>3.5339999999999998</v>
      </c>
      <c r="F31" s="8">
        <v>4.2210000000000001</v>
      </c>
      <c r="G31" s="8">
        <v>1.9345000000000001</v>
      </c>
      <c r="H31" s="8">
        <v>2.7010000000000001</v>
      </c>
      <c r="I31" s="20">
        <v>3.55</v>
      </c>
      <c r="P31">
        <v>100</v>
      </c>
      <c r="Q31">
        <v>-0.14009803137316978</v>
      </c>
      <c r="S31">
        <v>50</v>
      </c>
      <c r="T31">
        <v>-12.359659148502633</v>
      </c>
    </row>
    <row r="32" spans="2:20" x14ac:dyDescent="0.3">
      <c r="D32" t="s">
        <v>35</v>
      </c>
      <c r="E32" s="8">
        <v>3.55</v>
      </c>
      <c r="F32" s="8">
        <v>3.74</v>
      </c>
      <c r="G32" s="8">
        <v>1.35</v>
      </c>
      <c r="H32" s="8">
        <v>2.16</v>
      </c>
      <c r="I32" s="20">
        <v>3.22</v>
      </c>
      <c r="S32">
        <v>100</v>
      </c>
      <c r="T32">
        <v>-17.896611440013366</v>
      </c>
    </row>
    <row r="33" spans="4:18" x14ac:dyDescent="0.3">
      <c r="D33" t="s">
        <v>36</v>
      </c>
      <c r="E33">
        <f>ABS((E31-E32)/E31)*100</f>
        <v>0.45274476513865353</v>
      </c>
      <c r="F33">
        <f t="shared" ref="F33:M33" si="2">ABS((F31-F32)/F31)*100</f>
        <v>11.395403932717363</v>
      </c>
      <c r="G33">
        <f t="shared" si="2"/>
        <v>30.214525717239599</v>
      </c>
      <c r="H33">
        <f t="shared" si="2"/>
        <v>20.029618659755645</v>
      </c>
      <c r="I33">
        <f t="shared" si="2"/>
        <v>9.2957746478873151</v>
      </c>
      <c r="J33" t="e">
        <f t="shared" si="2"/>
        <v>#DIV/0!</v>
      </c>
      <c r="K33" t="e">
        <f t="shared" si="2"/>
        <v>#DIV/0!</v>
      </c>
      <c r="L33" t="e">
        <f t="shared" si="2"/>
        <v>#DIV/0!</v>
      </c>
      <c r="M33" t="e">
        <f t="shared" si="2"/>
        <v>#DIV/0!</v>
      </c>
    </row>
    <row r="34" spans="4:18" ht="17.25" thickBot="1" x14ac:dyDescent="0.35"/>
    <row r="35" spans="4:18" ht="17.25" thickBot="1" x14ac:dyDescent="0.35">
      <c r="D35" s="25" t="s">
        <v>38</v>
      </c>
      <c r="E35" s="26" t="s">
        <v>39</v>
      </c>
      <c r="F35" s="27" t="s">
        <v>55</v>
      </c>
      <c r="G35" s="25" t="s">
        <v>58</v>
      </c>
      <c r="H35" s="26" t="s">
        <v>57</v>
      </c>
      <c r="I35" s="27" t="s">
        <v>56</v>
      </c>
      <c r="J35" s="32" t="s">
        <v>60</v>
      </c>
      <c r="K35" s="32" t="s">
        <v>63</v>
      </c>
      <c r="Q35" t="s">
        <v>62</v>
      </c>
      <c r="R35" t="s">
        <v>61</v>
      </c>
    </row>
    <row r="36" spans="4:18" ht="17.25" thickTop="1" x14ac:dyDescent="0.3">
      <c r="D36" s="35">
        <v>4233.67</v>
      </c>
      <c r="E36" s="35">
        <v>4400</v>
      </c>
      <c r="F36" s="34">
        <f>ABS((D36-E36)/D36)*100</f>
        <v>3.9287426747951519</v>
      </c>
      <c r="G36" s="28">
        <v>2.5</v>
      </c>
      <c r="H36" s="8">
        <v>2.5230000000000001</v>
      </c>
      <c r="I36" s="29">
        <f>20*LOG10(ABS($H36/$G$36))</f>
        <v>7.9544836910740879E-2</v>
      </c>
      <c r="J36">
        <v>0.01</v>
      </c>
      <c r="L36" s="8"/>
      <c r="O36" s="11"/>
      <c r="P36" s="29"/>
      <c r="Q36">
        <v>0.1</v>
      </c>
      <c r="R36">
        <v>18.889653443003375</v>
      </c>
    </row>
    <row r="37" spans="4:18" x14ac:dyDescent="0.3">
      <c r="D37" s="36">
        <v>785.88</v>
      </c>
      <c r="E37" s="36">
        <v>800</v>
      </c>
      <c r="F37" s="34">
        <f t="shared" ref="F37:F48" si="3">ABS((D37-E37)/D37)*100</f>
        <v>1.7967119662034923</v>
      </c>
      <c r="G37" s="28"/>
      <c r="H37" s="8">
        <v>1.8879999999999999</v>
      </c>
      <c r="I37" s="29">
        <f t="shared" ref="I37:I58" si="4">20*LOG10(ABS($H37/$G$36))</f>
        <v>-2.4387603741997492</v>
      </c>
      <c r="J37">
        <v>0.1</v>
      </c>
      <c r="L37" s="8"/>
      <c r="O37" s="11"/>
      <c r="P37" s="29"/>
      <c r="Q37">
        <v>1</v>
      </c>
      <c r="R37">
        <v>4.0823996531184958</v>
      </c>
    </row>
    <row r="38" spans="4:18" x14ac:dyDescent="0.3">
      <c r="D38" s="37">
        <v>396.63</v>
      </c>
      <c r="E38" s="37">
        <v>408</v>
      </c>
      <c r="F38" s="34">
        <f t="shared" si="3"/>
        <v>2.8666515392179117</v>
      </c>
      <c r="G38" s="28"/>
      <c r="H38" s="8">
        <v>0.34399999999999997</v>
      </c>
      <c r="I38" s="29">
        <f t="shared" si="4"/>
        <v>-17.227631322010151</v>
      </c>
      <c r="J38">
        <v>0.5</v>
      </c>
      <c r="L38" s="8"/>
      <c r="O38" s="11"/>
      <c r="P38" s="29"/>
      <c r="Q38">
        <v>2</v>
      </c>
      <c r="R38">
        <v>-1.7661968249227777</v>
      </c>
    </row>
    <row r="39" spans="4:18" x14ac:dyDescent="0.3">
      <c r="D39" s="36">
        <v>198.79</v>
      </c>
      <c r="E39" s="36">
        <v>224</v>
      </c>
      <c r="F39" s="34">
        <f t="shared" si="3"/>
        <v>12.681724432818555</v>
      </c>
      <c r="G39" s="28"/>
      <c r="H39" s="8">
        <v>1.1419999999999999</v>
      </c>
      <c r="I39" s="29">
        <f t="shared" si="4"/>
        <v>-6.8054780952441671</v>
      </c>
      <c r="J39">
        <v>1</v>
      </c>
      <c r="L39" s="8"/>
      <c r="O39" s="11"/>
      <c r="P39" s="29"/>
      <c r="Q39">
        <v>4</v>
      </c>
      <c r="R39">
        <v>-6.97443972003712</v>
      </c>
    </row>
    <row r="40" spans="4:18" x14ac:dyDescent="0.3">
      <c r="D40" s="37">
        <v>132.58000000000001</v>
      </c>
      <c r="E40" s="37">
        <v>144</v>
      </c>
      <c r="F40" s="34">
        <f t="shared" si="3"/>
        <v>8.6136672197918145</v>
      </c>
      <c r="G40" s="28"/>
      <c r="H40" s="8">
        <v>1.9119999999999999</v>
      </c>
      <c r="I40" s="29">
        <f t="shared" si="4"/>
        <v>-2.3290424146391278</v>
      </c>
      <c r="J40">
        <v>2</v>
      </c>
      <c r="L40" s="8"/>
      <c r="O40" s="11"/>
      <c r="P40" s="29"/>
      <c r="Q40">
        <v>6</v>
      </c>
      <c r="R40">
        <v>-10.812150244815385</v>
      </c>
    </row>
    <row r="41" spans="4:18" x14ac:dyDescent="0.3">
      <c r="D41" s="36">
        <v>99.45</v>
      </c>
      <c r="E41" s="36">
        <v>128</v>
      </c>
      <c r="F41" s="34">
        <f t="shared" si="3"/>
        <v>28.707893413775764</v>
      </c>
      <c r="G41" s="28"/>
      <c r="H41" s="8">
        <v>2.4540000000000002</v>
      </c>
      <c r="I41" s="29">
        <f t="shared" si="4"/>
        <v>-0.16130900562104322</v>
      </c>
      <c r="J41">
        <v>5</v>
      </c>
      <c r="L41" s="8"/>
      <c r="O41" s="11"/>
      <c r="P41" s="29"/>
      <c r="Q41">
        <v>8</v>
      </c>
      <c r="R41">
        <v>-11.835200693763008</v>
      </c>
    </row>
    <row r="42" spans="4:18" x14ac:dyDescent="0.3">
      <c r="D42" s="37">
        <v>79.569999999999993</v>
      </c>
      <c r="E42" s="37">
        <v>96</v>
      </c>
      <c r="F42" s="34">
        <f t="shared" si="3"/>
        <v>20.648485610154591</v>
      </c>
      <c r="G42" s="28"/>
      <c r="H42" s="8">
        <v>2.5920000000000001</v>
      </c>
      <c r="I42" s="29">
        <f t="shared" si="4"/>
        <v>0.31389977053036189</v>
      </c>
      <c r="J42">
        <v>10</v>
      </c>
      <c r="L42" s="8"/>
      <c r="O42" s="11"/>
      <c r="P42" s="29"/>
      <c r="Q42">
        <v>10</v>
      </c>
      <c r="R42">
        <v>-14.333975425929008</v>
      </c>
    </row>
    <row r="43" spans="4:18" x14ac:dyDescent="0.3">
      <c r="D43" s="36">
        <v>15.92</v>
      </c>
      <c r="E43" s="36">
        <v>40</v>
      </c>
      <c r="F43" s="34">
        <f t="shared" si="3"/>
        <v>151.25628140703517</v>
      </c>
      <c r="G43" s="28"/>
      <c r="H43" s="8">
        <v>2.681</v>
      </c>
      <c r="I43" s="29">
        <f t="shared" si="4"/>
        <v>0.60713610621683944</v>
      </c>
      <c r="J43">
        <v>100</v>
      </c>
      <c r="L43" s="8"/>
      <c r="O43" s="11"/>
      <c r="P43" s="29"/>
      <c r="Q43">
        <v>50</v>
      </c>
      <c r="R43">
        <v>-21.938200260161128</v>
      </c>
    </row>
    <row r="44" spans="4:18" x14ac:dyDescent="0.3">
      <c r="D44" s="37">
        <v>7.97</v>
      </c>
      <c r="E44" s="37">
        <v>44</v>
      </c>
      <c r="F44" s="34">
        <f t="shared" si="3"/>
        <v>452.07026348808029</v>
      </c>
      <c r="G44" s="28"/>
      <c r="H44" s="8">
        <v>44</v>
      </c>
      <c r="I44" s="29">
        <f t="shared" si="4"/>
        <v>24.910253356283</v>
      </c>
      <c r="J44">
        <v>100</v>
      </c>
      <c r="L44" s="8"/>
      <c r="P44" s="34"/>
      <c r="Q44">
        <v>100</v>
      </c>
      <c r="R44">
        <v>-21.110346556996625</v>
      </c>
    </row>
    <row r="45" spans="4:18" ht="17.25" thickBot="1" x14ac:dyDescent="0.35">
      <c r="D45" s="36">
        <v>0.8</v>
      </c>
      <c r="E45" s="36">
        <v>20</v>
      </c>
      <c r="F45" s="39">
        <f t="shared" si="3"/>
        <v>2399.9999999999995</v>
      </c>
      <c r="G45" s="30"/>
      <c r="H45" s="8">
        <v>20</v>
      </c>
      <c r="I45" s="29">
        <f t="shared" si="4"/>
        <v>18.061799739838872</v>
      </c>
      <c r="J45">
        <v>1000</v>
      </c>
      <c r="P45" s="34"/>
      <c r="Q45">
        <v>1000</v>
      </c>
      <c r="R45">
        <v>-27.95880017344075</v>
      </c>
    </row>
    <row r="46" spans="4:18" ht="17.25" thickBot="1" x14ac:dyDescent="0.35">
      <c r="D46" s="38">
        <v>0.08</v>
      </c>
      <c r="E46" s="38">
        <v>-58.5</v>
      </c>
      <c r="F46" s="40">
        <f t="shared" si="3"/>
        <v>73225</v>
      </c>
      <c r="H46" s="31">
        <v>-58.5</v>
      </c>
      <c r="I46" s="29">
        <f t="shared" si="4"/>
        <v>27.384317148202854</v>
      </c>
      <c r="J46">
        <v>10000</v>
      </c>
      <c r="P46" s="34"/>
      <c r="Q46">
        <v>10000</v>
      </c>
      <c r="R46">
        <v>-18.636282765076764</v>
      </c>
    </row>
    <row r="47" spans="4:18" ht="17.25" thickTop="1" x14ac:dyDescent="0.3">
      <c r="D47" s="21"/>
      <c r="E47" s="21"/>
      <c r="F47" s="10" t="e">
        <f t="shared" si="3"/>
        <v>#DIV/0!</v>
      </c>
      <c r="H47" s="31"/>
      <c r="I47" s="29" t="e">
        <f t="shared" si="4"/>
        <v>#NUM!</v>
      </c>
      <c r="J47">
        <v>50</v>
      </c>
    </row>
    <row r="48" spans="4:18" x14ac:dyDescent="0.3">
      <c r="D48" s="21"/>
      <c r="E48" s="21"/>
      <c r="F48" s="10" t="e">
        <f t="shared" si="3"/>
        <v>#DIV/0!</v>
      </c>
      <c r="H48" s="31"/>
      <c r="I48" s="29" t="e">
        <f t="shared" si="4"/>
        <v>#NUM!</v>
      </c>
      <c r="J48">
        <v>100</v>
      </c>
    </row>
    <row r="49" spans="4:13" x14ac:dyDescent="0.3">
      <c r="H49" s="31"/>
      <c r="I49" s="29" t="e">
        <f t="shared" si="4"/>
        <v>#NUM!</v>
      </c>
      <c r="J49">
        <v>500</v>
      </c>
    </row>
    <row r="50" spans="4:13" x14ac:dyDescent="0.3">
      <c r="D50" s="24" t="s">
        <v>50</v>
      </c>
      <c r="E50" s="24" t="s">
        <v>51</v>
      </c>
      <c r="F50" s="24" t="s">
        <v>52</v>
      </c>
      <c r="G50" s="33"/>
      <c r="H50" s="33"/>
      <c r="I50" s="29" t="e">
        <f t="shared" si="4"/>
        <v>#NUM!</v>
      </c>
      <c r="J50">
        <v>1000</v>
      </c>
    </row>
    <row r="51" spans="4:13" x14ac:dyDescent="0.3">
      <c r="D51" s="23">
        <v>5</v>
      </c>
      <c r="E51" s="23">
        <v>22000</v>
      </c>
      <c r="F51" s="24">
        <f>1*10^-9</f>
        <v>1.0000000000000001E-9</v>
      </c>
      <c r="G51" s="33"/>
      <c r="H51" s="33"/>
      <c r="I51" s="29" t="e">
        <f t="shared" si="4"/>
        <v>#NUM!</v>
      </c>
      <c r="J51">
        <v>10000</v>
      </c>
      <c r="L51" t="s">
        <v>59</v>
      </c>
    </row>
    <row r="52" spans="4:13" x14ac:dyDescent="0.3">
      <c r="D52" t="s">
        <v>48</v>
      </c>
      <c r="E52" t="s">
        <v>49</v>
      </c>
      <c r="I52" s="29" t="e">
        <f t="shared" si="4"/>
        <v>#NUM!</v>
      </c>
      <c r="J52">
        <v>-2.8533500713746314</v>
      </c>
    </row>
    <row r="53" spans="4:13" x14ac:dyDescent="0.3">
      <c r="D53">
        <v>10</v>
      </c>
      <c r="E53">
        <f>$D$51*((1/($G$5*$D53*$F$51)/SQRT($E$51^2+(1/($G$5*$D53*$F$51)^2))))</f>
        <v>4.9999952231183151</v>
      </c>
      <c r="I53" s="29" t="e">
        <f t="shared" si="4"/>
        <v>#NUM!</v>
      </c>
      <c r="J53">
        <v>-2.1136787463112308</v>
      </c>
    </row>
    <row r="54" spans="4:13" x14ac:dyDescent="0.3">
      <c r="D54">
        <v>50</v>
      </c>
      <c r="E54">
        <f t="shared" ref="E54:E80" si="5">$D$51*((1/($G$5*$D54*$F$51)/SQRT($E$51^2+(1/($G$5*$D54*$F$51)^2))))</f>
        <v>4.9998805820650762</v>
      </c>
      <c r="I54" s="29" t="e">
        <f t="shared" si="4"/>
        <v>#NUM!</v>
      </c>
      <c r="J54">
        <v>-3.4526145389234957</v>
      </c>
    </row>
    <row r="55" spans="4:13" x14ac:dyDescent="0.3">
      <c r="D55">
        <v>100</v>
      </c>
      <c r="E55">
        <f t="shared" si="5"/>
        <v>4.9995223795920811</v>
      </c>
      <c r="I55" s="29" t="e">
        <f t="shared" si="4"/>
        <v>#NUM!</v>
      </c>
      <c r="J55">
        <v>-4.0963082063515204</v>
      </c>
    </row>
    <row r="56" spans="4:13" x14ac:dyDescent="0.3">
      <c r="D56">
        <v>200</v>
      </c>
      <c r="E56">
        <f t="shared" si="5"/>
        <v>4.9980903391866747</v>
      </c>
      <c r="I56" s="29" t="e">
        <f t="shared" si="4"/>
        <v>#NUM!</v>
      </c>
      <c r="J56">
        <v>-4.9130332857796235</v>
      </c>
    </row>
    <row r="57" spans="4:13" x14ac:dyDescent="0.3">
      <c r="D57">
        <v>300</v>
      </c>
      <c r="E57">
        <f t="shared" si="5"/>
        <v>4.995706337323921</v>
      </c>
      <c r="I57" s="29" t="e">
        <f t="shared" si="4"/>
        <v>#NUM!</v>
      </c>
      <c r="J57">
        <v>-11.835200693763008</v>
      </c>
    </row>
    <row r="58" spans="4:13" x14ac:dyDescent="0.3">
      <c r="D58">
        <v>400</v>
      </c>
      <c r="E58">
        <f t="shared" si="5"/>
        <v>4.9923744585575704</v>
      </c>
      <c r="I58" s="29" t="e">
        <f t="shared" si="4"/>
        <v>#NUM!</v>
      </c>
      <c r="J58">
        <v>-31.437304119424226</v>
      </c>
    </row>
    <row r="59" spans="4:13" x14ac:dyDescent="0.3">
      <c r="D59">
        <v>500</v>
      </c>
      <c r="E59">
        <f t="shared" si="5"/>
        <v>4.9881003940626121</v>
      </c>
    </row>
    <row r="60" spans="4:13" x14ac:dyDescent="0.3">
      <c r="D60">
        <v>600</v>
      </c>
      <c r="E60">
        <f t="shared" si="5"/>
        <v>4.98289141473869</v>
      </c>
      <c r="L60">
        <v>1</v>
      </c>
      <c r="M60">
        <v>-21.514414278762366</v>
      </c>
    </row>
    <row r="61" spans="4:13" x14ac:dyDescent="0.3">
      <c r="D61">
        <v>700</v>
      </c>
      <c r="E61">
        <f t="shared" si="5"/>
        <v>4.9767563370573411</v>
      </c>
      <c r="L61">
        <v>2</v>
      </c>
      <c r="M61">
        <v>-17.07743928643524</v>
      </c>
    </row>
    <row r="62" spans="4:13" x14ac:dyDescent="0.3">
      <c r="D62">
        <v>800</v>
      </c>
      <c r="E62">
        <f t="shared" si="5"/>
        <v>4.969705481965482</v>
      </c>
      <c r="L62">
        <v>3</v>
      </c>
      <c r="M62">
        <v>-13.722655592616931</v>
      </c>
    </row>
    <row r="63" spans="4:13" x14ac:dyDescent="0.3">
      <c r="D63">
        <v>900</v>
      </c>
      <c r="E63">
        <f t="shared" si="5"/>
        <v>4.9617506272172092</v>
      </c>
      <c r="L63">
        <v>4</v>
      </c>
      <c r="M63">
        <v>-11.372724716820253</v>
      </c>
    </row>
    <row r="64" spans="4:13" x14ac:dyDescent="0.3">
      <c r="D64">
        <v>1000</v>
      </c>
      <c r="E64">
        <f t="shared" si="5"/>
        <v>4.9529049535601146</v>
      </c>
      <c r="L64">
        <v>5</v>
      </c>
      <c r="M64">
        <v>-9.5772383259192733</v>
      </c>
    </row>
    <row r="65" spans="4:13" x14ac:dyDescent="0.3">
      <c r="D65">
        <v>2000</v>
      </c>
      <c r="E65">
        <f t="shared" si="5"/>
        <v>4.819223458062635</v>
      </c>
      <c r="L65">
        <v>6</v>
      </c>
      <c r="M65">
        <v>-8.1342786595908549</v>
      </c>
    </row>
    <row r="66" spans="4:13" x14ac:dyDescent="0.3">
      <c r="D66">
        <v>3000</v>
      </c>
      <c r="E66">
        <f t="shared" si="5"/>
        <v>4.6186189158045501</v>
      </c>
      <c r="L66">
        <v>7</v>
      </c>
      <c r="M66">
        <v>-6.897231303772358</v>
      </c>
    </row>
    <row r="67" spans="4:13" x14ac:dyDescent="0.3">
      <c r="D67">
        <v>4000</v>
      </c>
      <c r="E67">
        <f t="shared" si="5"/>
        <v>4.3756727283097678</v>
      </c>
      <c r="L67">
        <v>8</v>
      </c>
      <c r="M67">
        <v>-5.6799331273040163</v>
      </c>
    </row>
    <row r="68" spans="4:13" x14ac:dyDescent="0.3">
      <c r="D68">
        <v>5000</v>
      </c>
      <c r="E68">
        <f t="shared" si="5"/>
        <v>4.113187484979802</v>
      </c>
      <c r="L68">
        <v>10</v>
      </c>
      <c r="M68">
        <v>-3.349821745875273</v>
      </c>
    </row>
    <row r="69" spans="4:13" x14ac:dyDescent="0.3">
      <c r="D69">
        <v>10000</v>
      </c>
      <c r="E69">
        <f t="shared" si="5"/>
        <v>2.9306715443791664</v>
      </c>
      <c r="L69">
        <v>15</v>
      </c>
      <c r="M69">
        <v>-0.175478486150103</v>
      </c>
    </row>
    <row r="70" spans="4:13" x14ac:dyDescent="0.3">
      <c r="D70">
        <v>20000</v>
      </c>
      <c r="E70">
        <f t="shared" si="5"/>
        <v>1.7007371720610085</v>
      </c>
      <c r="L70">
        <v>25</v>
      </c>
      <c r="M70">
        <v>4.190300290852619</v>
      </c>
    </row>
    <row r="71" spans="4:13" x14ac:dyDescent="0.3">
      <c r="D71">
        <v>30000</v>
      </c>
      <c r="E71">
        <f t="shared" si="5"/>
        <v>1.1721211670878797</v>
      </c>
      <c r="L71">
        <v>50</v>
      </c>
      <c r="M71">
        <v>10.317476874233583</v>
      </c>
    </row>
    <row r="72" spans="4:13" x14ac:dyDescent="0.3">
      <c r="D72">
        <v>40000</v>
      </c>
      <c r="E72">
        <f t="shared" si="5"/>
        <v>0.88985319006854025</v>
      </c>
      <c r="L72">
        <v>100</v>
      </c>
      <c r="M72">
        <v>17.616271845615827</v>
      </c>
    </row>
    <row r="73" spans="4:13" x14ac:dyDescent="0.3">
      <c r="D73">
        <v>50000</v>
      </c>
      <c r="E73">
        <f t="shared" si="5"/>
        <v>0.71597620617182267</v>
      </c>
      <c r="L73">
        <v>500</v>
      </c>
      <c r="M73">
        <v>7.9588001734407516</v>
      </c>
    </row>
    <row r="74" spans="4:13" x14ac:dyDescent="0.3">
      <c r="D74">
        <v>60000</v>
      </c>
      <c r="E74">
        <f t="shared" si="5"/>
        <v>0.59852477691681549</v>
      </c>
      <c r="L74">
        <v>1000</v>
      </c>
      <c r="M74">
        <v>3.5218251811136247</v>
      </c>
    </row>
    <row r="75" spans="4:13" x14ac:dyDescent="0.3">
      <c r="D75">
        <v>70000</v>
      </c>
      <c r="E75">
        <f t="shared" si="5"/>
        <v>0.5139991888557679</v>
      </c>
      <c r="L75">
        <v>10000</v>
      </c>
      <c r="M75">
        <v>-13.979400086720375</v>
      </c>
    </row>
    <row r="76" spans="4:13" x14ac:dyDescent="0.3">
      <c r="D76">
        <v>80000</v>
      </c>
      <c r="E76">
        <f t="shared" si="5"/>
        <v>0.45030730323627144</v>
      </c>
    </row>
    <row r="77" spans="4:13" x14ac:dyDescent="0.3">
      <c r="D77">
        <v>90000</v>
      </c>
      <c r="E77">
        <f t="shared" si="5"/>
        <v>0.40061429106221319</v>
      </c>
    </row>
    <row r="78" spans="4:13" x14ac:dyDescent="0.3">
      <c r="D78">
        <v>100000</v>
      </c>
      <c r="E78">
        <f t="shared" si="5"/>
        <v>0.36077295328640824</v>
      </c>
    </row>
    <row r="79" spans="4:13" x14ac:dyDescent="0.3">
      <c r="D79">
        <v>200000</v>
      </c>
      <c r="E79">
        <f t="shared" si="5"/>
        <v>0.18073969015332317</v>
      </c>
    </row>
    <row r="80" spans="4:13" x14ac:dyDescent="0.3">
      <c r="D80">
        <f>1*10^6</f>
        <v>1000000</v>
      </c>
      <c r="E80">
        <f t="shared" si="5"/>
        <v>3.6170631486989083E-2</v>
      </c>
    </row>
    <row r="83" spans="4:20" ht="27" thickBot="1" x14ac:dyDescent="0.35">
      <c r="D83" s="45" t="s">
        <v>64</v>
      </c>
      <c r="E83" s="51">
        <v>2.4540000000000002</v>
      </c>
      <c r="F83" s="51">
        <v>1.6830000000000001</v>
      </c>
      <c r="G83" s="51">
        <v>0.26200000000000001</v>
      </c>
      <c r="H83" s="51">
        <v>0.90500000000000003</v>
      </c>
      <c r="I83" s="51">
        <v>1.665</v>
      </c>
      <c r="J83" s="51">
        <v>2.274</v>
      </c>
      <c r="K83" s="51">
        <v>2.415</v>
      </c>
      <c r="L83" s="52">
        <v>2.46</v>
      </c>
      <c r="M83" s="47"/>
      <c r="N83" s="47"/>
      <c r="O83" s="47"/>
      <c r="P83" s="47"/>
      <c r="Q83" s="47"/>
      <c r="R83" s="47"/>
      <c r="S83" s="47"/>
      <c r="T83" s="45"/>
    </row>
    <row r="84" spans="4:20" ht="27" thickTop="1" x14ac:dyDescent="0.3">
      <c r="D84" s="45" t="s">
        <v>65</v>
      </c>
      <c r="E84" s="49">
        <v>2.5230000000000001</v>
      </c>
      <c r="F84" s="49">
        <v>1.8879999999999999</v>
      </c>
      <c r="G84" s="49">
        <v>0.34399999999999997</v>
      </c>
      <c r="H84" s="49">
        <v>1.1419999999999999</v>
      </c>
      <c r="I84" s="49">
        <v>1.9119999999999999</v>
      </c>
      <c r="J84" s="49">
        <v>2.4540000000000002</v>
      </c>
      <c r="K84" s="49">
        <v>2.5920000000000001</v>
      </c>
      <c r="L84" s="50">
        <v>2.681</v>
      </c>
      <c r="M84" s="47"/>
      <c r="N84" s="47"/>
      <c r="O84" s="47"/>
      <c r="P84" s="47"/>
      <c r="Q84" s="47"/>
      <c r="R84" s="47"/>
      <c r="S84" s="47"/>
      <c r="T84" s="45"/>
    </row>
    <row r="85" spans="4:20" ht="26.25" x14ac:dyDescent="0.3">
      <c r="D85" s="45" t="s">
        <v>66</v>
      </c>
      <c r="E85" s="48">
        <f>ABS((E$83-E$84)/E$83)*100</f>
        <v>2.8117359413202911</v>
      </c>
      <c r="F85" s="48">
        <f t="shared" ref="F83:T85" si="6">ABS((F$83-F$84)/F$83)*100</f>
        <v>12.180629827688643</v>
      </c>
      <c r="G85" s="48">
        <f t="shared" si="6"/>
        <v>31.297709923664108</v>
      </c>
      <c r="H85" s="48">
        <f t="shared" si="6"/>
        <v>26.187845303867391</v>
      </c>
      <c r="I85" s="48">
        <f t="shared" si="6"/>
        <v>14.834834834834828</v>
      </c>
      <c r="J85" s="48">
        <f t="shared" si="6"/>
        <v>7.9155672823219074</v>
      </c>
      <c r="K85" s="48">
        <f t="shared" si="6"/>
        <v>7.3291925465838528</v>
      </c>
      <c r="L85" s="48">
        <f t="shared" si="6"/>
        <v>8.9837398373983781</v>
      </c>
      <c r="M85" s="48" t="e">
        <f t="shared" si="6"/>
        <v>#DIV/0!</v>
      </c>
      <c r="N85" s="48" t="e">
        <f t="shared" si="6"/>
        <v>#DIV/0!</v>
      </c>
      <c r="O85" s="48" t="e">
        <f t="shared" si="6"/>
        <v>#DIV/0!</v>
      </c>
      <c r="P85" s="48" t="e">
        <f t="shared" si="6"/>
        <v>#DIV/0!</v>
      </c>
      <c r="Q85" s="48" t="e">
        <f t="shared" si="6"/>
        <v>#DIV/0!</v>
      </c>
      <c r="R85" s="48" t="e">
        <f t="shared" si="6"/>
        <v>#DIV/0!</v>
      </c>
      <c r="S85" s="48" t="e">
        <f t="shared" si="6"/>
        <v>#DIV/0!</v>
      </c>
      <c r="T85" s="46" t="e">
        <f t="shared" si="6"/>
        <v>#DIV/0!</v>
      </c>
    </row>
  </sheetData>
  <mergeCells count="3">
    <mergeCell ref="D1:K1"/>
    <mergeCell ref="L1:O1"/>
    <mergeCell ref="D17:E17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 Jae Hwan</dc:creator>
  <cp:lastModifiedBy>Park Jae Hwan</cp:lastModifiedBy>
  <dcterms:created xsi:type="dcterms:W3CDTF">2019-10-11T15:16:22Z</dcterms:created>
  <dcterms:modified xsi:type="dcterms:W3CDTF">2019-11-29T17:57:10Z</dcterms:modified>
</cp:coreProperties>
</file>